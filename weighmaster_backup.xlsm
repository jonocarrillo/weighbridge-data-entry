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ocumenttasks/documenttask1.xml" ContentType="application/vnd.ms-excel.documenttask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noe\OneDrive\Desktop\weighticket2026\"/>
    </mc:Choice>
  </mc:AlternateContent>
  <xr:revisionPtr revIDLastSave="0" documentId="13_ncr:1_{9C8CE607-57C2-44EA-99CA-4B58A2066251}" xr6:coauthVersionLast="47" xr6:coauthVersionMax="47" xr10:uidLastSave="{00000000-0000-0000-0000-000000000000}"/>
  <bookViews>
    <workbookView xWindow="-120" yWindow="-120" windowWidth="29040" windowHeight="17520" xr2:uid="{93D7119F-1BE9-4216-AE64-FBB109365CFF}"/>
  </bookViews>
  <sheets>
    <sheet name="Supercluster" sheetId="1" r:id="rId1"/>
  </sheets>
  <functionGroups builtInGroupCount="19"/>
  <externalReferences>
    <externalReference r:id="rId2"/>
  </externalReferences>
  <definedNames>
    <definedName name="_xlpm._acct" hidden="1" xlm="1">#NAME?</definedName>
    <definedName name="_xlpm._allow" hidden="1" xlm="1">#NAME?</definedName>
    <definedName name="_xlpm._allowS" hidden="1" xlm="1">#NAME?</definedName>
    <definedName name="_xlpm._allowV" hidden="1" xlm="1">#NAME?</definedName>
    <definedName name="_xlpm._base" hidden="1" xlm="1">#NAME?</definedName>
    <definedName name="_xlpm._cash" hidden="1" xlm="1">#NAME?</definedName>
    <definedName name="_xlpm._chargeH" hidden="1" xlm="1">#NAME?</definedName>
    <definedName name="_xlpm._chargeS" hidden="1" xlm="1">#NAME?</definedName>
    <definedName name="_xlpm._d" hidden="1" xlm="1">#NAME?</definedName>
    <definedName name="_xlpm._dist_charge" hidden="1" xlm="1">#NAME?</definedName>
    <definedName name="_xlpm._dist_rate" hidden="1" xlm="1">#NAME?</definedName>
    <definedName name="_xlpm._endH" hidden="1" xlm="1">#NAME?</definedName>
    <definedName name="_xlpm._endN" hidden="1" xlm="1">#NAME?</definedName>
    <definedName name="_xlpm._factor" hidden="1" xlm="1">#NAME?</definedName>
    <definedName name="_xlpm._idx" hidden="1" xlm="1">#NAME?</definedName>
    <definedName name="_xlpm._idxH" hidden="1" xlm="1">#NAME?</definedName>
    <definedName name="_xlpm._isHaul" hidden="1" xlm="1">#NAME?</definedName>
    <definedName name="_xlpm._m1" hidden="1" xlm="1">#NAME?</definedName>
    <definedName name="_xlpm._m1H" hidden="1" xlm="1">#NAME?</definedName>
    <definedName name="_xlpm._m2" hidden="1" xlm="1">#NAME?</definedName>
    <definedName name="_xlpm._m2H" hidden="1" xlm="1">#NAME?</definedName>
    <definedName name="_xlpm._miles" hidden="1" xlm="1">#NAME?</definedName>
    <definedName name="_xlpm._over" hidden="1" xlm="1">#NAME?</definedName>
    <definedName name="_xlpm._overage_charge" hidden="1" xlm="1">#NAME?</definedName>
    <definedName name="_xlpm._pick" hidden="1" xlm="1">#NAME?</definedName>
    <definedName name="_xlpm._pos" hidden="1" xlm="1">#NAME?</definedName>
    <definedName name="_xlpm._prod" hidden="1" xlm="1">#NAME?</definedName>
    <definedName name="_xlpm._qty" hidden="1" xlm="1">#NAME?</definedName>
    <definedName name="_xlpm._rate" hidden="1" xlm="1">#NAME?</definedName>
    <definedName name="_xlpm._startH" hidden="1" xlm="1">#NAME?</definedName>
    <definedName name="_xlpm._startN" hidden="1" xlm="1">#NAME?</definedName>
    <definedName name="_xlpm._surch" hidden="1" xlm="1">#NAME?</definedName>
    <definedName name="_xlpm._type" hidden="1" xlm="1">#NAME?</definedName>
    <definedName name="_xlpm.acct" hidden="1" xlm="1">#NAME?</definedName>
    <definedName name="_xlpm.amt" hidden="1" xlm="1">#NAME?</definedName>
    <definedName name="_xlpm.arVendors" hidden="1" xlm="1">#NAME?</definedName>
    <definedName name="_xlpm.blankRow" hidden="1" xlm="1">#NAME?</definedName>
    <definedName name="_xlpm.idx" hidden="1" xlm="1">#NAME?</definedName>
    <definedName name="_xlpm.isVoid" hidden="1" xlm="1">#NAME?</definedName>
    <definedName name="_xlpm.lastNum" hidden="1" xlm="1">#NAME?</definedName>
    <definedName name="_xlpm.lastVal" hidden="1" xlm="1">#NAME?</definedName>
    <definedName name="_xlpm.priorRange" hidden="1" xlm="1">#NAME?</definedName>
    <definedName name="_xlpm.seq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tc={D26DA0FA-91FB-4F05-A404-C20F5CC0B0EB}</author>
  </authors>
  <commentList>
    <comment ref="I1" authorId="0" shapeId="0" xr:uid="{D26DA0FA-91FB-4F05-A404-C20F5CC0B0EB}">
      <text>
        <t>[Threaded comment]
Your version of Excel allows you to read this threaded comment; however, any edits to it will get removed if the file is opened in a newer version of Excel. Learn more: https://go.microsoft.com/fwlink/?linkid=870924
[Tasks]
There is a task anchored to this comment that cannot be viewed in your client.
Comment:
    @American Industrial Services Be sure to input Addresses here, without city, for data validation, just click the correct city in the right side “Origin”</t>
      </text>
    </comment>
  </commentList>
</comments>
</file>

<file path=xl/sharedStrings.xml><?xml version="1.0" encoding="utf-8"?>
<sst xmlns="http://schemas.openxmlformats.org/spreadsheetml/2006/main" count="27" uniqueCount="27">
  <si>
    <t>Invoice Number</t>
  </si>
  <si>
    <t>WASTE DATA</t>
  </si>
  <si>
    <t>TIME IN</t>
  </si>
  <si>
    <t>TIME OUT</t>
  </si>
  <si>
    <t>Memo</t>
  </si>
  <si>
    <t>T1</t>
  </si>
  <si>
    <t>T2</t>
  </si>
  <si>
    <t>TRUCKID</t>
  </si>
  <si>
    <t>PO# / ORIGIN</t>
  </si>
  <si>
    <t>TONAGE</t>
  </si>
  <si>
    <t>DATE</t>
  </si>
  <si>
    <t>Account</t>
  </si>
  <si>
    <t>Weighmaster</t>
  </si>
  <si>
    <t>Product/Service</t>
  </si>
  <si>
    <t>Origin</t>
  </si>
  <si>
    <t>Quantity</t>
  </si>
  <si>
    <t>RATE</t>
  </si>
  <si>
    <t>AMOUNT</t>
  </si>
  <si>
    <t>PAYMENT</t>
  </si>
  <si>
    <t>CASH</t>
  </si>
  <si>
    <t>AR</t>
  </si>
  <si>
    <t>CARD</t>
  </si>
  <si>
    <t>Week</t>
  </si>
  <si>
    <t>Biweekly</t>
  </si>
  <si>
    <t>Class</t>
  </si>
  <si>
    <t>Month</t>
  </si>
  <si>
    <t>Scalemaster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</si>
</sst>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mm/dd/yyyy"/>
    <numFmt numFmtId="166" formatCode="&quot;$&quot;#,##0.0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6"/>
      <color theme="1"/>
      <name val="Aptos Narrow"/>
      <family val="2"/>
      <scheme val="minor"/>
    </font>
    <font>
      <b/>
      <sz val="8"/>
      <color rgb="FF1A97FE"/>
      <name val="Aptos Narrow"/>
      <family val="2"/>
      <scheme val="minor"/>
    </font>
    <font>
      <b/>
      <sz val="6"/>
      <color rgb="FFFF0000"/>
      <name val="Arial"/>
      <family val="2"/>
    </font>
    <font>
      <sz val="6"/>
      <color theme="1"/>
      <name val="Aptos Narrow"/>
      <family val="2"/>
      <scheme val="minor"/>
    </font>
    <font>
      <b/>
      <sz val="11"/>
      <color rgb="FF000000"/>
      <name val="Calibri"/>
      <family val="2"/>
    </font>
    <font>
      <b/>
      <sz val="6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b/>
      <sz val="11"/>
      <color rgb="FF1A97FE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7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wrapText="1"/>
    </xf>
    <xf numFmtId="0" fontId="4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0" borderId="1" xfId="0" applyFont="1" applyBorder="1"/>
    <xf numFmtId="2" fontId="5" fillId="0" borderId="1" xfId="0" applyNumberFormat="1" applyFont="1" applyBorder="1" applyAlignment="1">
      <alignment horizontal="center" vertical="center" shrinkToFit="1"/>
    </xf>
    <xf numFmtId="165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 shrinkToFit="1"/>
    </xf>
    <xf numFmtId="166" fontId="7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2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2" fontId="8" fillId="5" borderId="2" xfId="1" applyNumberFormat="1" applyFont="1" applyFill="1" applyBorder="1" applyAlignment="1">
      <alignment horizontal="center" vertical="center"/>
    </xf>
    <xf numFmtId="165" fontId="9" fillId="0" borderId="1" xfId="1" applyNumberFormat="1" applyFont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166" fontId="8" fillId="0" borderId="0" xfId="1" applyNumberFormat="1" applyFont="1" applyAlignment="1">
      <alignment horizontal="center" vertical="center"/>
    </xf>
    <xf numFmtId="0" fontId="6" fillId="0" borderId="0" xfId="0" applyFont="1" applyAlignment="1">
      <alignment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8" fillId="4" borderId="0" xfId="1" applyFont="1" applyFill="1" applyAlignment="1">
      <alignment horizontal="center" vertical="center"/>
    </xf>
    <xf numFmtId="0" fontId="9" fillId="0" borderId="1" xfId="1" applyFont="1" applyBorder="1" applyAlignment="1">
      <alignment horizontal="center" vertical="center" shrinkToFit="1"/>
    </xf>
    <xf numFmtId="0" fontId="9" fillId="0" borderId="1" xfId="1" applyFont="1" applyBorder="1" applyAlignment="1">
      <alignment horizontal="center" vertical="center" wrapText="1" shrinkToFit="1"/>
    </xf>
    <xf numFmtId="2" fontId="9" fillId="0" borderId="1" xfId="1" applyNumberFormat="1" applyFont="1" applyBorder="1" applyAlignment="1">
      <alignment horizontal="center" vertical="center"/>
    </xf>
    <xf numFmtId="166" fontId="10" fillId="0" borderId="1" xfId="1" applyNumberFormat="1" applyFont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6" fillId="0" borderId="0" xfId="1" applyFont="1"/>
    <xf numFmtId="0" fontId="3" fillId="0" borderId="0" xfId="0" applyFont="1"/>
    <xf numFmtId="164" fontId="6" fillId="0" borderId="0" xfId="0" applyNumberFormat="1" applyFont="1"/>
    <xf numFmtId="164" fontId="6" fillId="0" borderId="0" xfId="0" applyNumberFormat="1" applyFont="1" applyAlignment="1">
      <alignment horizontal="center"/>
    </xf>
  </cellXfs>
  <cellStyles count="2">
    <cellStyle name="Normal" xfId="0" builtinId="0"/>
    <cellStyle name="Normal 74" xfId="1" xr:uid="{AA5FE46E-6986-4841-B86D-2A2B1D0BB973}"/>
  </cellStyles>
  <dxfs count="29">
    <dxf>
      <font>
        <b/>
        <sz val="6"/>
        <name val="Arial"/>
        <family val="2"/>
        <scheme val="none"/>
      </font>
      <numFmt numFmtId="166" formatCode="&quot;$&quot;#,##0.00"/>
      <alignment horizontal="center" vertical="center" textRotation="0" wrapText="0" indent="0" justifyLastLine="0" shrinkToFit="0" readingOrder="0"/>
    </dxf>
    <dxf>
      <font>
        <b/>
        <sz val="6"/>
        <name val="Arial"/>
        <family val="2"/>
        <scheme val="none"/>
      </font>
      <numFmt numFmtId="166" formatCode="&quot;$&quot;#,##0.00"/>
      <alignment horizontal="center" vertical="center" textRotation="0" wrapText="0" indent="0" justifyLastLine="0" shrinkToFit="0" readingOrder="0"/>
    </dxf>
    <dxf>
      <font>
        <b/>
        <sz val="6"/>
        <name val="Arial"/>
        <family val="2"/>
        <scheme val="none"/>
      </font>
      <numFmt numFmtId="166" formatCode="&quot;$&quot;#,##0.00"/>
      <alignment horizontal="center" vertical="center" textRotation="0" wrapText="0" indent="0" justifyLastLine="0" shrinkToFit="0" readingOrder="0"/>
    </dxf>
    <dxf>
      <font>
        <b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name val="Arial"/>
        <family val="2"/>
        <scheme val="none"/>
      </font>
      <numFmt numFmtId="166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name val="Arial"/>
        <family val="2"/>
        <scheme val="none"/>
      </font>
      <numFmt numFmtId="166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name val="Arial"/>
        <family val="2"/>
        <scheme val="none"/>
      </font>
      <numFmt numFmtId="166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color rgb="FF1A97FE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color rgb="FF000000"/>
        <name val="Arial"/>
        <family val="2"/>
        <scheme val="none"/>
      </font>
      <numFmt numFmtId="166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color rgb="FF000000"/>
        <name val="Arial"/>
        <family val="2"/>
        <scheme val="none"/>
      </font>
      <numFmt numFmtId="166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1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name val="Arial"/>
        <family val="2"/>
        <scheme val="none"/>
      </font>
      <numFmt numFmtId="165" formatCode="mm/dd/yyyy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z val="6"/>
        <name val="Arial"/>
        <family val="2"/>
        <scheme val="none"/>
      </font>
      <numFmt numFmtId="2" formatCode="0.00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rial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font>
        <b/>
        <sz val="8"/>
        <color rgb="FF1A97F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A97FE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numFmt numFmtId="164" formatCode="[$-F400]h:mm:ss\ AM/P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numFmt numFmtId="164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</dxf>
    <dxf>
      <font>
        <sz val="6"/>
      </font>
      <numFmt numFmtId="0" formatCode="General"/>
      <alignment horizontal="center" vertical="bottom" textRotation="0" wrapText="0" indent="0" justifyLastLine="0" shrinkToFit="0" readingOrder="0"/>
    </dxf>
    <dxf>
      <font>
        <b/>
        <sz val="6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166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ocumenttasks/documenttask1.xml><?xml version="1.0" encoding="utf-8"?>
<Tasks xmlns="http://schemas.microsoft.com/office/tasks/2019/documenttasks">
  <Task id="{D1E2E70C-D294-40CE-8B7E-0E10C79A7714}">
    <Anchor>
      <Comment id="{D26DA0FA-91FB-4F05-A404-C20F5CC0B0EB}"/>
    </Anchor>
    <History>
      <Event time="2025-10-16T21:05:51.86" id="{44590B9E-C5DB-4B04-B20D-DF3A971B1729}">
        <Attribution userId="S::noe@aisdisposal.com::3b80e55a-88ea-4705-a9ee-d8a6db6aa9e6" userName="Noe Carrillo" userProvider="AD"/>
        <Anchor>
          <Comment id="{D26DA0FA-91FB-4F05-A404-C20F5CC0B0EB}"/>
        </Anchor>
        <Create/>
      </Event>
      <Event time="2025-10-16T21:05:51.86" id="{6F2812C1-DFBE-4BFB-BA54-4004C577F7DA}">
        <Attribution userId="S::noe@aisdisposal.com::3b80e55a-88ea-4705-a9ee-d8a6db6aa9e6" userName="Noe Carrillo" userProvider="AD"/>
        <Anchor>
          <Comment id="{D26DA0FA-91FB-4F05-A404-C20F5CC0B0EB}"/>
        </Anchor>
        <Assign userId="S::contact@aisdisposal.com::7de8089b-a295-420b-8385-dc9dbcada7de" userName="American Industrial Services" userProvider="AD"/>
      </Event>
      <Event time="2025-10-16T21:05:51.86" id="{EF243FC4-FF05-4C8F-A7FF-FF4C07E4B7A2}">
        <Attribution userId="S::noe@aisdisposal.com::3b80e55a-88ea-4705-a9ee-d8a6db6aa9e6" userName="Noe Carrillo" userProvider="AD"/>
        <Anchor>
          <Comment id="{D26DA0FA-91FB-4F05-A404-C20F5CC0B0EB}"/>
        </Anchor>
        <SetTitle title="@American Industrial Services Be sure to input Addresses here, without city, for data validation, just click the correct city in the right side “Origin”"/>
      </Event>
    </History>
  </Task>
</Task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etorgft7738131.sharepoint.com/sites/AIS/Shared%20Documents/General/Data/Supercluster.xlsm" TargetMode="External"/><Relationship Id="rId1" Type="http://schemas.openxmlformats.org/officeDocument/2006/relationships/externalLinkPath" Target="https://netorgft7738131.sharepoint.com/sites/AIS/Shared%20Documents/General/Data/Superclu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DCO RECYCLING"/>
      <sheetName val="Sales Receipts"/>
      <sheetName val="AR"/>
      <sheetName val="Statement"/>
      <sheetName val="Bill"/>
      <sheetName val="Assets"/>
      <sheetName val="EDCO CITY REPORT"/>
      <sheetName val="Scale Pricing"/>
      <sheetName val="Hauling Pricing"/>
      <sheetName val="Facility Waste"/>
      <sheetName val="TruckID"/>
      <sheetName val="CalcEngine"/>
      <sheetName val="Supercluster"/>
      <sheetName val="(blank)"/>
      <sheetName val="PrintTicket_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merican Industrial Services" id="{7C9A39FE-E5E2-4440-BF68-7BB8BF1F8FF8}" userId="contact@aisdisposal.com" providerId="PeoplePicker"/>
  <person displayName="Noe Carrillo" id="{B21E64A0-D871-482E-AF96-EF70008648B3}" userId="S::noe@aisdisposal.com::3b80e55a-88ea-4705-a9ee-d8a6db6aa9e6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AD2525-008B-4490-A629-2485D36AAFFA}" name="Supercluster" displayName="Supercluster" ref="A1:Z2" insertRow="1" totalsRowShown="0" headerRowDxfId="27" dataDxfId="26" dataCellStyle="Normal 74">
  <autoFilter ref="A1:Z2" xr:uid="{70AD2525-008B-4490-A629-2485D36AAFFA}"/>
  <tableColumns count="26">
    <tableColumn id="1" xr3:uid="{6F84B9CA-BF57-44DD-B294-50D2DC4BED54}" name="Invoice Number" dataDxfId="25">
      <calculatedColumnFormula array="1">IF([1]!Supercluster[[#This Row],[Account]]="", "",
    IF([1]!Supercluster[[#This Row],[WASTE DATA]]="",
        _xlfn.LET(
            _xlpm.idx, ROW()-ROW([1]!Supercluster[[#Headers],[Invoice Number]]),
            _xlpm.priorRange, IF(_xlpm.idx=1, "", INDEX([1]!Supercluster[Invoice Number],1):INDEX([1]!Supercluster[Invoice Number],_xlpm.idx-1)),
            _xlpm.lastVal, IF(_xlpm.idx=1, "", IFERROR(LOOKUP(2, 1/((_xlpm.priorRange&lt;&gt;"")*(_xlpm.priorRange&gt;=900000)), _xlpm.priorRange), "")),
            IF(_xlpm.idx=1, 900000, IF(_xlpm.lastVal="", 900000, _xlpm.lastVal+1))
        ),
        [1]!Supercluster[[#This Row],[WASTE DATA]]
    )
)</calculatedColumnFormula>
    </tableColumn>
    <tableColumn id="2" xr3:uid="{458C73F3-D7FD-4D18-9187-297DB51CD132}" name="WASTE DATA" dataDxfId="24"/>
    <tableColumn id="3" xr3:uid="{D8EDE522-24EF-40D7-8075-BA9E6F223641}" name="TIME IN" dataDxfId="23"/>
    <tableColumn id="4" xr3:uid="{9506284A-7E4D-4D30-93A6-FA4256CC8D7D}" name="TIME OUT" dataDxfId="22"/>
    <tableColumn id="5" xr3:uid="{C5A827D9-89CD-43C7-99A9-0E318D0E6135}" name="Memo" dataDxfId="21"/>
    <tableColumn id="6" xr3:uid="{C04A1292-1E21-46E6-AD6D-9DFF178A275B}" name="T1" dataDxfId="20"/>
    <tableColumn id="7" xr3:uid="{38E1CC1E-9E95-4F91-843D-42B4B3F6E499}" name="T2" dataDxfId="19">
      <calculatedColumnFormula>IF(
  [1]!Supercluster[[#This Row],[TRUCKID]]="",
  "",
  IFERROR(
    _xlfn.XLOOKUP([1]!Supercluster[[#This Row],[TRUCKID]], [1]!Tonage[EDCO RECYCLING], [1]!Tonage[TARE]),
    IFERROR(
      _xlfn.XLOOKUP([1]!Supercluster[[#This Row],[TRUCKID]], [1]!Tonage[GENESIS TRUCKING], [1]!Tonage[TARE2]),
      ""
    )
  )
)</calculatedColumnFormula>
    </tableColumn>
    <tableColumn id="8" xr3:uid="{AA38DC23-3FB9-4D7C-A5A6-B72709EEC780}" name="TRUCKID" dataDxfId="18" dataCellStyle="Normal 74"/>
    <tableColumn id="9" xr3:uid="{61C8788F-8640-4609-BA9C-8ABC89FF1CE8}" name="PO# / ORIGIN" dataDxfId="17"/>
    <tableColumn id="10" xr3:uid="{01B903C1-A0B0-4C0F-9DD3-E4BDF3F1A28D}" name="TONAGE" dataDxfId="16" dataCellStyle="Normal 74">
      <calculatedColumnFormula>IF(OR(F2="", G2=""), "", IF((F2-G2)/2000 &lt; 1, 1, (F2-G2)/2000))</calculatedColumnFormula>
    </tableColumn>
    <tableColumn id="11" xr3:uid="{0DEFBB1F-FC19-464A-B17C-7532BEA7079C}" name="DATE" dataDxfId="15" dataCellStyle="Normal 74">
      <calculatedColumnFormula>IF(
  OR([1]!Supercluster[[#This Row],[Account]]="",[1]!Supercluster[[#This Row],[Product/Service]]="void"),
  IF(
    COUNTBLANK(OFFSET([1]!Supercluster[[#This Row],[Account]],-3,0,4,1))=4,
    "",
    IF(UPPER(TRIM([1]!Supercluster[[#This Row],[Product/Service]]))="VOID", OFFSET([1]!Supercluster[[#This Row],[DATE]],-1,0), OFFSET([1]!Supercluster[[#This Row],[DATE]],-1,0)+1)
  ),
  OFFSET([1]!Supercluster[[#This Row],[DATE]],-1,0)
)</calculatedColumnFormula>
    </tableColumn>
    <tableColumn id="12" xr3:uid="{A53EB41A-B14E-4B63-87B5-A24197AC7FFD}" name="Account" dataDxfId="14" dataCellStyle="Normal 74"/>
    <tableColumn id="13" xr3:uid="{E67F7388-6700-449D-9220-CC04AB30F2D9}" name="Weighmaster" dataDxfId="13" dataCellStyle="Normal 74">
      <calculatedColumnFormula array="1">_xlfn.LET(
  _xlpm.isVoid, UPPER(TRIM([1]!Supercluster[[#This Row],[Product/Service]]))="VOID",
  _xlpm.blankRow, AND([1]!Supercluster[[#This Row],[Account]]="", NOT(_xlpm.isVoid)),
  _xlpm.idx, ROW()-ROW([1]!Supercluster[[#Headers],[Weighmaster]]),
  _xlpm.priorRange, IF(_xlpm.idx=1, "", INDEX([1]!Supercluster[Weighmaster],1):INDEX([1]!Supercluster[Weighmaster],_xlpm.idx-1)),
  _xlpm.lastNum, IF(_xlpm.idx=1, 0, IFERROR(LOOKUP(2, 1/ISNUMBER(_xlpm.priorRange), _xlpm.priorRange), 0)),
  _xlpm.seq, _xlpm.lastNum + 1,
  IF(_xlpm.blankRow, "", _xlpm.seq)
)</calculatedColumnFormula>
    </tableColumn>
    <tableColumn id="14" xr3:uid="{376C85E3-8AC6-4C2C-84BF-B4D8F90E4883}" name="Product/Service" dataDxfId="12" dataCellStyle="Normal 74"/>
    <tableColumn id="15" xr3:uid="{2A503220-236A-41EC-8797-11DE2E0DACFC}" name="Origin" dataDxfId="11" dataCellStyle="Normal 74"/>
    <tableColumn id="16" xr3:uid="{5DB163C3-D692-499A-BB70-CCE2EA8340D2}" name="Quantity" dataDxfId="10" dataCellStyle="Normal 74">
      <calculatedColumnFormula>IF(ISNUMBER(MATCH(UPPER(TRIM([1]!Supercluster[[#This Row],[Product/Service]])),{"CCLN","YARD OUT","WEIGHT","WOOD","METAL","VOID"},0)),
    "",
    IF([1]!Supercluster[[#This Row],[TONAGE]]=0,"",[1]!Supercluster[[#This Row],[TONAGE]])
)</calculatedColumnFormula>
    </tableColumn>
    <tableColumn id="17" xr3:uid="{622EA668-C041-4CC4-B69E-E973B3396B1A}" name="RATE" dataDxfId="9" dataCellStyle="Normal 74">
      <calculatedColumnFormula>IF([1]!Supercluster[[#This Row],[Product/Service]]="weight",[1]!Supercluster[[#This Row],[AMOUNT]],IF([1]!Supercluster[[#This Row],[AMOUNT]]="","",[1]!Supercluster[[#This Row],[AMOUNT]]/[1]!Supercluster[[#This Row],[TONAGE]]))</calculatedColumnFormula>
    </tableColumn>
    <tableColumn id="18" xr3:uid="{45082FA8-F0E2-4F48-A3DE-F1809852F9B5}" name="AMOUNT" dataDxfId="8" dataCellStyle="Normal 74">
      <calculatedColumnFormula array="1">_xlfn.LET(
  _xlpm._prod, UPPER(TRIM([1]!Supercluster[[#This Row],[Product/Service]])),
  _xlpm._acct, UPPER(TRIM([1]!Supercluster[[#This Row],[Account]])),
  _xlpm._d, [1]!Supercluster[[#This Row],[DATE]],
  _xlpm._qty, N([1]!Supercluster[[#This Row],[TONAGE]]),
  _xlpm._cash, N([1]!Supercluster[[#This Row],[Memo]]),
  _xlpm._startN, DATE(YEAR(_xlpm._d), MONTH([1]!ScalePricing[Start]+0), DAY([1]!ScalePricing[Start]+0)),
  _xlpm._endN,   DATE(YEAR(_xlpm._d), MONTH([1]!ScalePricing[END]+0),   DAY([1]!ScalePricing[END]+0)),
  _xlpm._m1, (UPPER(TRIM([1]!ScalePricing[PRODUCT/SERVICE]))=_xlpm._prod)*
       (UPPER(TRIM([1]!ScalePricing[Account]))=_xlpm._acct)*
       (_xlpm._d&gt;=_xlpm._startN)*(_xlpm._d&lt;=_xlpm._endN),
  _xlpm._m2, (UPPER(TRIM([1]!ScalePricing[PRODUCT/SERVICE]))=_xlpm._prod)*
       ((TRIM([1]!ScalePricing[Account])="")+(UPPER(TRIM([1]!ScalePricing[Account]))="PUBLIC"))*
       (_xlpm._d&gt;=_xlpm._startN)*(_xlpm._d&lt;=_xlpm._endN),
  _xlpm._idx, IFERROR(_xlfn.XMATCH(1,_xlpm._m1,0), _xlfn.XMATCH(1,_xlpm._m2,0)),
  _xlpm._rate, INDEX([1]!ScalePricing[Rate], _xlpm._idx),
  _xlpm._type, LOWER(TRIM(INDEX([1]!ScalePricing[Type], _xlpm._idx))),
  _xlpm._chargeS, IF(_xlpm._type="run", _xlpm._rate, _xlpm._qty*_xlpm._rate),
  _xlpm._startH, DATE(YEAR(_xlpm._d), MONTH([1]!HaulingPricing[Start]+0), DAY([1]!HaulingPricing[Start]+0)),
  _xlpm._endH,   DATE(YEAR(_xlpm._d), MONTH([1]!HaulingPricing[End]+0),   DAY([1]!HaulingPricing[End]+0)),
  _xlpm._m1H, (UPPER(TRIM([1]!HaulingPricing[Account]))=_xlpm._acct)*(_xlpm._d&gt;=_xlpm._startH)*(_xlpm._d&lt;=_xlpm._endH),
  _xlpm._m2H, ((TRIM([1]!HaulingPricing[Account])="")+(UPPER(TRIM([1]!HaulingPricing[Account]))="PUBLIC"))*(_xlpm._d&gt;=_xlpm._startH)*(_xlpm._d&lt;=_xlpm._endH),
  _xlpm._idxH, IFERROR(_xlfn.XMATCH(1,_xlpm._m1H,0), _xlfn.XMATCH(1,_xlpm._m2H,0)),
  _xlpm._pos, IFERROR(_xlfn.XMATCH(_xlpm._prod, {"Lowboy","10YD","40YD"}, 0), 0),
  _xlpm._isHaul, _xlpm._pos&gt;0,
  _xlpm._base, IF(_xlpm._isHaul, IFERROR(INDEX(_xlfn.CHOOSECOLS([1]!HaulingPricing[[Lowboy]:[40YD]], _xlpm._pos), _xlpm._idxH), 0), 0),
  _xlpm._allowS, IFERROR(INDEX([1]!HaulingPricing[Allowed Tons], _xlpm._idxH), ""),
  _xlpm._allowV, IF(_xlpm._allowS="",
              {0,0,0},
              --_xlfn.TEXTSPLIT(_xlpm._allowS, ",")),
  _xlpm._allow, IF(_xlpm._isHaul, IFERROR(INDEX(_xlpm._allowV, _xlpm._pos), 0), 0),
  _xlpm._over,  IFERROR(INDEX([1]!HaulingPricing[Overage], _xlpm._idxH), 0),
  _xlpm._miles, IFERROR(INDEX([1]!HaulingPricing[Miles], _xlpm._idxH), 0),
  _xlpm._dist_rate, IFERROR(INDEX([1]!HaulingPricing[Dist. Rate], _xlpm._idxH), 0),
  _xlpm._surch, IFERROR(INDEX([1]!HaulingPricing[Surcharge], _xlpm._idxH), 0),
  _xlpm._factor, 1 + N(_xlpm._surch)/100,
  _xlpm._overage_charge, MAX(0, _xlpm._qty - _xlpm._allow) * _xlpm._over,
  _xlpm._dist_charge, _xlpm._miles * _xlpm._dist_rate,
  _xlpm._chargeH, IF(_xlpm._isHaul, (_xlpm._base + _xlpm._overage_charge + _xlpm._dist_charge) * _xlpm._factor, ""),
  _xlpm._pick, IF(_xlpm._isHaul, _xlpm._chargeH, _xlpm._chargeS),
  IF(_xlpm._cash&lt;&gt;0, _xlpm._cash, IFERROR(_xlpm._pick, "")))</calculatedColumnFormula>
    </tableColumn>
    <tableColumn id="19" xr3:uid="{01C6FD5E-E071-4A8D-A832-88A3DD2C5E74}" name="PAYMENT" dataDxfId="7" dataCellStyle="Normal 74">
      <calculatedColumnFormula array="1">_xlfn.LET(
  _xlpm.acct, UPPER(TRIM([1]!Supercluster[[#This Row],[Account]])),
  _xlpm.amt, [1]!Supercluster[[#This Row],[AMOUNT]],
  _xlpm.arVendors, {"ATHENS","CR&amp;R","EDCO","EDCO RECYCLING","EDCO DISPOSAL","MIDWEST ROOFING","VALLEY VISTA SERVICES","COVANTA","GENESIS TRUCKING","Interior Demolition Inc.","Pinnacle Disposal"},
  IF(_xlpm.amt &lt; 0, "EXPENSE",
     IF(ISNUMBER(_xlfn.XMATCH(_xlpm.acct, _xlpm.arVendors, 0)), "AR", "")
  )
)</calculatedColumnFormula>
    </tableColumn>
    <tableColumn id="20" xr3:uid="{1956F97C-724B-4939-AC97-20FEED6F41B1}" name="CASH" dataDxfId="6" dataCellStyle="Normal 74">
      <calculatedColumnFormula>IF([1]!Supercluster[[#This Row],[PAYMENT]]=[1]!Supercluster[[#Headers],[CASH]],[1]!Supercluster[[#This Row],[AMOUNT]],"")</calculatedColumnFormula>
    </tableColumn>
    <tableColumn id="21" xr3:uid="{6D7C8D91-3D14-4AFF-9E24-613444F18010}" name="AR" dataDxfId="5" dataCellStyle="Normal 74">
      <calculatedColumnFormula>IF([1]!Supercluster[[#This Row],[PAYMENT]]="AR",R2,"")</calculatedColumnFormula>
    </tableColumn>
    <tableColumn id="22" xr3:uid="{48C05D3F-9305-423D-8C69-FB88845935E6}" name="CARD" dataDxfId="4" dataCellStyle="Normal 74">
      <calculatedColumnFormula>IF(OR(S2="VISA",S2="MC",S2="AMEX",S2="card",S2="cREDIT",S2="DEBIT"),R2,"")</calculatedColumnFormula>
    </tableColumn>
    <tableColumn id="23" xr3:uid="{11649CA4-7E28-4532-BDB9-463AE64D697C}" name="Week" dataDxfId="3" dataCellStyle="Normal 74">
      <calculatedColumnFormula>IFERROR(TEXT([1]!Supercluster[[#This Row],[DATE]] - WEEKDAY([1]!Supercluster[[#This Row],[DATE]], 2) + 1, "mm/dd") &amp; " - " &amp; TEXT([1]!Supercluster[[#This Row],[DATE]] - WEEKDAY([1]!Supercluster[[#This Row],[DATE]], 2) + 7, "mm/dd"), "")</calculatedColumnFormula>
    </tableColumn>
    <tableColumn id="24" xr3:uid="{2EB71B66-CA7B-4B00-A241-764A8ED6854A}" name="Biweekly" dataDxfId="2" dataCellStyle="Normal 74">
      <calculatedColumnFormula>IFERROR(TEXT(EOMONTH([1]!Supercluster[[#This Row],[DATE]],0),"yyyy-mm") &amp; IF(DAY([1]!Supercluster[[#This Row],[DATE]])&lt;=15, " - 1st Half", " - 2nd Half"),"")</calculatedColumnFormula>
    </tableColumn>
    <tableColumn id="25" xr3:uid="{CBFFC2C0-F9A3-49F2-BF22-A34248E7FD4D}" name="Class" dataDxfId="1" dataCellStyle="Normal 74">
      <calculatedColumnFormula array="1">IF(
    [1]!Supercluster[[#This Row],[Account]] = "",
    "",
    _xlfn.XLOOKUP(
        UPPER(TRIM([1]!Supercluster[[#This Row],[Account]])),
        UPPER(TRIM([1]!ScalePricing[Account])),
        [1]!ScalePricing[Class],
        _xlfn.XLOOKUP(
            UPPER(TRIM([1]!Supercluster[[#This Row],[Account]])),
            UPPER(TRIM([1]!HaulingPricing[Account])),
            [1]!HaulingPricing[CLASS],
            ""
        )
    ) &amp; ""
)</calculatedColumnFormula>
    </tableColumn>
    <tableColumn id="26" xr3:uid="{D98898B4-4866-4EE5-9772-F0356AA93DFC}" name="Month" dataDxfId="0" dataCellStyle="Normal 74">
      <calculatedColumnFormula>TEXT([1]!Supercluster[[#This Row],[DATE]],"mmmm")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1" dT="2025-10-16T21:05:51.87" personId="{B21E64A0-D871-482E-AF96-EF70008648B3}" id="{D26DA0FA-91FB-4F05-A404-C20F5CC0B0EB}">
    <text>@American Industrial Services Be sure to input Addresses here, without city, for data validation, just click the correct city in the right side “Origin”</text>
    <mentions>
      <mention mentionpersonId="{7C9A39FE-E5E2-4440-BF68-7BB8BF1F8FF8}" mentionId="{B3B2E68B-9CC0-43DA-A2B1-F9027E789A32}" startIndex="0" length="29"/>
    </mentions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9/04/relationships/documenttask" Target="../documenttasks/documenttask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C5B88-5E24-45FC-B390-BE9D9338D275}">
  <sheetPr codeName="Sheet1"/>
  <dimension ref="A1:AA2"/>
  <sheetViews>
    <sheetView tabSelected="1" zoomScale="115" zoomScaleNormal="115" workbookViewId="0">
      <selection activeCell="D2" sqref="D2"/>
    </sheetView>
  </sheetViews>
  <sheetFormatPr defaultRowHeight="15" x14ac:dyDescent="0.25"/>
  <cols>
    <col min="1" max="1" width="13.140625" customWidth="1"/>
    <col min="2" max="2" width="12.42578125" customWidth="1"/>
    <col min="4" max="4" width="10" customWidth="1"/>
    <col min="8" max="8" width="9.42578125" customWidth="1"/>
    <col min="9" max="9" width="12.42578125" customWidth="1"/>
    <col min="12" max="12" width="10.28515625" customWidth="1"/>
    <col min="13" max="13" width="15.140625" customWidth="1"/>
    <col min="14" max="14" width="17.28515625" customWidth="1"/>
    <col min="16" max="16" width="10.85546875" customWidth="1"/>
    <col min="18" max="18" width="11.5703125" customWidth="1"/>
    <col min="19" max="19" width="12" customWidth="1"/>
  </cols>
  <sheetData>
    <row r="1" spans="1:27" s="15" customFormat="1" x14ac:dyDescent="0.25">
      <c r="A1" s="1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5" t="s">
        <v>5</v>
      </c>
      <c r="G1" s="5" t="s">
        <v>6</v>
      </c>
      <c r="H1" s="6" t="s">
        <v>7</v>
      </c>
      <c r="I1" s="7" t="s">
        <v>8</v>
      </c>
      <c r="J1" s="8" t="s">
        <v>9</v>
      </c>
      <c r="K1" s="9" t="s">
        <v>10</v>
      </c>
      <c r="L1" s="9" t="s">
        <v>11</v>
      </c>
      <c r="M1" s="10" t="s">
        <v>12</v>
      </c>
      <c r="N1" s="10" t="s">
        <v>13</v>
      </c>
      <c r="O1" s="11" t="s">
        <v>14</v>
      </c>
      <c r="P1" s="10" t="s">
        <v>15</v>
      </c>
      <c r="Q1" s="12" t="s">
        <v>16</v>
      </c>
      <c r="R1" s="12" t="s">
        <v>17</v>
      </c>
      <c r="S1" s="12" t="s">
        <v>18</v>
      </c>
      <c r="T1" s="12" t="s">
        <v>19</v>
      </c>
      <c r="U1" s="12" t="s">
        <v>20</v>
      </c>
      <c r="V1" s="10" t="s">
        <v>21</v>
      </c>
      <c r="W1" s="13" t="s">
        <v>22</v>
      </c>
      <c r="X1" s="14" t="s">
        <v>23</v>
      </c>
      <c r="Y1" s="14" t="s">
        <v>24</v>
      </c>
      <c r="Z1" s="14" t="s">
        <v>25</v>
      </c>
      <c r="AA1" s="34" t="s">
        <v>26</v>
      </c>
    </row>
    <row r="2" spans="1:27" ht="14.45" customHeight="1" x14ac:dyDescent="0.25">
      <c r="A2" s="16"/>
      <c r="B2" s="17"/>
      <c r="C2" s="35"/>
      <c r="D2" s="36"/>
      <c r="E2" s="22"/>
      <c r="F2" s="23"/>
      <c r="G2" s="24"/>
      <c r="H2" s="25"/>
      <c r="I2" s="17"/>
      <c r="J2" s="18"/>
      <c r="K2" s="19"/>
      <c r="L2" s="26"/>
      <c r="M2" s="20"/>
      <c r="N2" s="20"/>
      <c r="O2" s="27"/>
      <c r="P2" s="28"/>
      <c r="Q2" s="29"/>
      <c r="R2" s="29"/>
      <c r="S2" s="30"/>
      <c r="T2" s="31"/>
      <c r="U2" s="31"/>
      <c r="V2" s="31"/>
      <c r="W2" s="32"/>
      <c r="X2" s="21"/>
      <c r="Y2" s="21"/>
      <c r="Z2" s="21"/>
      <c r="AA2" s="33"/>
    </row>
  </sheetData>
  <conditionalFormatting sqref="L2:Z2">
    <cfRule type="expression" dxfId="28" priority="1">
      <formula>AND($L2&lt;&gt;"", OR(AND(TRIM($F2)="", TRIM($G2)&lt;&gt;""), AND(TRIM($F2)&lt;&gt;"", TRIM($G2)="")))</formula>
    </cfRule>
  </conditionalFormatting>
  <dataValidations count="6">
    <dataValidation type="whole" operator="lessThan" allowBlank="1" showInputMessage="1" showErrorMessage="1" sqref="G1" xr:uid="{A67C40B9-212C-4BDC-972F-A70737B9CDB4}">
      <formula1>100000</formula1>
    </dataValidation>
    <dataValidation type="list" errorStyle="information" showInputMessage="1" showErrorMessage="1" sqref="S2" xr:uid="{618B9032-E753-44AC-B142-688C3F0B9A65}">
      <formula1>"AR,EXPENSE,CASH,UNPAID,SPLIT,DEBIT,CREDIT"</formula1>
    </dataValidation>
    <dataValidation type="list" errorStyle="warning" allowBlank="1" showInputMessage="1" showErrorMessage="1" sqref="O2" xr:uid="{DFF6E77C-2F02-45CB-A22A-16CC01BA121D}">
      <formula1>$O$12:$O$13969</formula1>
    </dataValidation>
    <dataValidation type="list" errorStyle="warning" allowBlank="1" showInputMessage="1" showErrorMessage="1" sqref="L2" xr:uid="{22CEAC3A-572E-4195-9FEE-D82EC03F0883}">
      <formula1>$L$12:$L$13969</formula1>
    </dataValidation>
    <dataValidation allowBlank="1" showInputMessage="1" showErrorMessage="1" sqref="G2" xr:uid="{8E027B61-E8D3-4620-AE1F-E6FDB772164B}"/>
    <dataValidation type="list" allowBlank="1" showInputMessage="1" showErrorMessage="1" sqref="N2" xr:uid="{92B03789-EAF3-47DA-8093-6EB91E151B04}">
      <formula1>"MIXED,SHINGLES,MIXED INERT,DRYWALL,TRASH,LOWBOY,CCLN,CONCRETE,CONCRETE 2,DIRT,WOOD,WEIGHT,METAL,CARDBOARD,GENERAL WASTE,PLANT TRASH,PALLETS,YARD OUT,40YD,10YD,50YD,VOID"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Supercluster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Noe Carrillo</dc:creator>
  <cp:lastModifiedBy>Noe Carrillo</cp:lastModifiedBy>
  <dcterms:created xsi:type="dcterms:W3CDTF">2026-02-15T23:59:25Z</dcterms:created>
  <dcterms:modified xsi:type="dcterms:W3CDTF">2026-04-23T22:07:09Z</dcterms:modified>
</cp:coreProperties>
</file>